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pahn\AppData\Local\Microsoft\Windows\INetCache\Content.Outlook\4W4OVZP3\"/>
    </mc:Choice>
  </mc:AlternateContent>
  <xr:revisionPtr revIDLastSave="0" documentId="13_ncr:1_{9858A33C-1921-4EA5-9541-D933BF72B373}" xr6:coauthVersionLast="47" xr6:coauthVersionMax="47" xr10:uidLastSave="{00000000-0000-0000-0000-000000000000}"/>
  <bookViews>
    <workbookView xWindow="-108" yWindow="-108" windowWidth="23256" windowHeight="12456" xr2:uid="{00000000-000D-0000-FFFF-FFFF00000000}"/>
  </bookViews>
  <sheets>
    <sheet name="Consensus Summary" sheetId="1" r:id="rId1"/>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<sst xmlns="http://schemas.openxmlformats.org/spreadsheetml/2006/main" count="170" uniqueCount="30">
  <si>
    <t>Vara Research Gerresheimer Pre Q1_2026 Earnings Estimates as of July 31st, 2026</t>
  </si>
  <si>
    <t>FY 2024</t>
  </si>
  <si>
    <t>FY 2025</t>
  </si>
  <si>
    <t>Q3 2026 E</t>
  </si>
  <si>
    <t>Q4 2026 E</t>
  </si>
  <si>
    <t>FY 2026 E</t>
  </si>
  <si>
    <t>FY 2027 E</t>
  </si>
  <si>
    <t>FY 2028 E</t>
  </si>
  <si>
    <t>Gx Group, Revenues</t>
  </si>
  <si>
    <t xml:space="preserve">  - Number of Estimates</t>
  </si>
  <si>
    <t xml:space="preserve">  - Highest</t>
  </si>
  <si>
    <t xml:space="preserve">  - Consensus</t>
  </si>
  <si>
    <t xml:space="preserve">  - Median</t>
  </si>
  <si>
    <t xml:space="preserve">  - Lowest</t>
  </si>
  <si>
    <t>-</t>
  </si>
  <si>
    <t>Gx Group, adj. EBITDA</t>
  </si>
  <si>
    <t>Adjusted EBITDA-margin in %</t>
  </si>
  <si>
    <t>Adjusted Net Income after minorities</t>
  </si>
  <si>
    <t>Number of shares (in million)</t>
  </si>
  <si>
    <t>Adj. EPS (in Euro)</t>
  </si>
  <si>
    <t>DPS (in Euro)</t>
  </si>
  <si>
    <t>Net financial debt</t>
  </si>
  <si>
    <t xml:space="preserve">Total Cash Capex </t>
  </si>
  <si>
    <t>Free cash flow (before acquisitions / divestments)</t>
  </si>
  <si>
    <t>Disclaimer</t>
  </si>
  <si>
    <t>This document has been issued by Vara Research GmbH for information purposes only and is not intended to constitute investment advice. It is based on estimates and forecasts of various analysts regarding revenues, earnings and business developments of the relevant company. 
 The company did not participate in the compilation of the estimates and it does not endorse them. Such estimates and forecasts cannot be independently verified by reason of the subjective character. Vara Research GmbH gives no guarantee, representation or warranty and is not responsible or liable as to its accuracy and completeness.</t>
  </si>
  <si>
    <t xml:space="preserve">Q1 2026 </t>
  </si>
  <si>
    <t>VARA Consensus - Gerresheimer Earnings Estimates as of October 21, 2026</t>
  </si>
  <si>
    <t>prelim.</t>
  </si>
  <si>
    <t xml:space="preserve">Q2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</si>
</sst>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name val="Calibri"/>
    </font>
    <font>
      <sz val="10"/>
      <name val="Verdana"/>
      <family val="2"/>
    </font>
    <font>
      <b/>
      <sz val="11"/>
      <color rgb="FFFFFFFF"/>
      <name val="Verdana"/>
      <family val="2"/>
    </font>
    <font>
      <b/>
      <sz val="14"/>
      <color rgb="FFFFFFFF"/>
      <name val="Verdana"/>
      <family val="2"/>
    </font>
    <font>
      <b/>
      <sz val="10"/>
      <name val="Verdana"/>
      <family val="2"/>
    </font>
    <font>
      <b/>
      <sz val="11"/>
      <name val="Calibri"/>
      <family val="2"/>
    </font>
    <font>
      <sz val="10"/>
      <color rgb="FF006100"/>
      <name val="Verdana"/>
      <family val="2"/>
    </font>
    <font>
      <sz val="10"/>
      <color rgb="FF886500"/>
      <name val="Verdana"/>
      <family val="2"/>
    </font>
    <font>
      <sz val="10"/>
      <color rgb="FF9C0006"/>
      <name val="Verdana"/>
      <family val="2"/>
    </font>
  </fonts>
  <fills count="14">
    <fill>
      <patternFill patternType="none"/>
    </fill>
    <fill>
      <patternFill patternType="gray125"/>
    </fill>
    <fill>
      <patternFill patternType="solid">
        <fgColor rgb="FFFFFFFF"/>
      </patternFill>
    </fill>
    <fill>
      <patternFill patternType="solid">
        <fgColor rgb="FF254061"/>
      </patternFill>
    </fill>
    <fill>
      <patternFill patternType="solid">
        <fgColor rgb="FF376091"/>
      </patternFill>
    </fill>
    <fill>
      <patternFill patternType="solid">
        <fgColor rgb="FFDBE5F1"/>
      </patternFill>
    </fill>
    <fill>
      <patternFill patternType="solid">
        <fgColor rgb="FFF8F8F8"/>
      </patternFill>
    </fill>
    <fill>
      <patternFill patternType="solid">
        <fgColor rgb="FFEAEAEA"/>
      </patternFill>
    </fill>
    <fill>
      <patternFill patternType="solid">
        <fgColor rgb="FF25405E"/>
      </patternFill>
    </fill>
    <fill>
      <patternFill patternType="solid">
        <fgColor rgb="FFF5F5F5"/>
      </patternFill>
    </fill>
    <fill>
      <patternFill patternType="solid">
        <fgColor rgb="FFC6EFCE"/>
      </patternFill>
    </fill>
    <fill>
      <patternFill patternType="solid">
        <fgColor rgb="FFFFEB9C"/>
      </patternFill>
    </fill>
    <fill>
      <patternFill patternType="solid">
        <fgColor rgb="FFFFC7CE"/>
      </patternFill>
    </fill>
    <fill>
      <patternFill patternType="solid">
        <fgColor rgb="FFDDDDDD"/>
      </patternFill>
    </fill>
  </fills>
  <borders count="8">
    <border>
      <left/>
      <right/>
      <top/>
      <bottom/>
      <diagonal/>
    </border>
    <border>
      <left/>
      <right style="thin">
        <color rgb="FFFFFFFF"/>
      </right>
      <top/>
      <bottom/>
      <diagonal/>
    </border>
    <border>
      <left style="thin">
        <color rgb="FFFFFFFF"/>
      </left>
      <right/>
      <top/>
      <bottom style="thin">
        <color rgb="FFFFFFFF"/>
      </bottom>
      <diagonal/>
    </border>
    <border>
      <left/>
      <right/>
      <top style="medium">
        <color rgb="FF808080"/>
      </top>
      <bottom style="medium">
        <color rgb="FF808080"/>
      </bottom>
      <diagonal/>
    </border>
    <border>
      <left style="medium">
        <color rgb="FF808080"/>
      </left>
      <right/>
      <top style="medium">
        <color rgb="FF808080"/>
      </top>
      <bottom style="medium">
        <color rgb="FF808080"/>
      </bottom>
      <diagonal/>
    </border>
    <border>
      <left/>
      <right style="medium">
        <color rgb="FF808080"/>
      </right>
      <top style="medium">
        <color rgb="FF808080"/>
      </top>
      <bottom style="medium">
        <color rgb="FF808080"/>
      </bottom>
      <diagonal/>
    </border>
    <border>
      <left/>
      <right style="medium">
        <color rgb="FFFFFFFF"/>
      </right>
      <top/>
      <bottom style="medium">
        <color rgb="FFFFFFFF"/>
      </bottom>
      <diagonal/>
    </border>
    <border>
      <left/>
      <right style="medium">
        <color rgb="FFFFFFFF"/>
      </right>
      <top style="thin">
        <color rgb="FF000000"/>
      </top>
      <bottom style="thin">
        <color rgb="FF000000"/>
      </bottom>
      <diagonal/>
    </border>
  </borders>
  <cellStyleXfs count="9">
    <xf numFmtId="0" fontId="0" fillId="0" borderId="0"/>
    <xf numFmtId="0" fontId="4" fillId="5" borderId="2"/>
    <xf numFmtId="0" fontId="1" fillId="6" borderId="2"/>
    <xf numFmtId="0" fontId="4" fillId="7" borderId="2"/>
    <xf numFmtId="0" fontId="1" fillId="9" borderId="6"/>
    <xf numFmtId="0" fontId="6" fillId="10" borderId="6"/>
    <xf numFmtId="0" fontId="7" fillId="11" borderId="6"/>
    <xf numFmtId="0" fontId="8" fillId="12" borderId="6"/>
    <xf numFmtId="0" fontId="1" fillId="13" borderId="7">
      <alignment horizontal="center"/>
    </xf>
  </cellStyleXfs>
  <cellXfs count="31">
    <xf numFmtId="0" fontId="0" fillId="0" borderId="0" xfId="0"/>
    <xf numFmtId="0" fontId="4" fillId="5" borderId="2" xfId="1"/>
    <xf numFmtId="0" fontId="1" fillId="6" borderId="2" xfId="2"/>
    <xf numFmtId="0" fontId="0" fillId="0" borderId="0" xfId="0" applyAlignment="1">
      <alignment horizontal="right"/>
    </xf>
    <xf numFmtId="0" fontId="0" fillId="2" borderId="0" xfId="0" applyFill="1" applyAlignment="1">
      <alignment horizontal="right"/>
    </xf>
    <xf numFmtId="0" fontId="2" fillId="4" borderId="1" xfId="0" applyFont="1" applyFill="1" applyBorder="1" applyAlignment="1">
      <alignment horizontal="center" vertical="center"/>
    </xf>
    <xf numFmtId="0" fontId="5" fillId="2" borderId="0" xfId="0" applyFont="1" applyFill="1" applyAlignment="1">
      <alignment horizontal="right"/>
    </xf>
    <xf numFmtId="164" fontId="0" fillId="2" borderId="0" xfId="0" applyNumberFormat="1" applyFill="1" applyAlignment="1">
      <alignment horizontal="right"/>
    </xf>
    <xf numFmtId="164" fontId="1" fillId="6" borderId="2" xfId="2" applyNumberFormat="1"/>
    <xf numFmtId="164" fontId="5" fillId="2" borderId="0" xfId="0" applyNumberFormat="1" applyFont="1" applyFill="1" applyAlignment="1">
      <alignment horizontal="right"/>
    </xf>
    <xf numFmtId="164" fontId="4" fillId="7" borderId="2" xfId="3" applyNumberFormat="1"/>
    <xf numFmtId="4" fontId="0" fillId="2" borderId="0" xfId="0" applyNumberFormat="1" applyFill="1" applyAlignment="1">
      <alignment horizontal="right"/>
    </xf>
    <xf numFmtId="4" fontId="1" fillId="6" borderId="2" xfId="2" applyNumberFormat="1"/>
    <xf numFmtId="4" fontId="5" fillId="2" borderId="0" xfId="0" applyNumberFormat="1" applyFont="1" applyFill="1" applyAlignment="1">
      <alignment horizontal="right"/>
    </xf>
    <xf numFmtId="4" fontId="4" fillId="7" borderId="2" xfId="3" applyNumberFormat="1"/>
    <xf numFmtId="0" fontId="4" fillId="2" borderId="2" xfId="1" applyFill="1"/>
    <xf numFmtId="0" fontId="1" fillId="2" borderId="2" xfId="2" applyFill="1"/>
    <xf numFmtId="164" fontId="1" fillId="2" borderId="2" xfId="2" applyNumberFormat="1" applyFill="1"/>
    <xf numFmtId="164" fontId="4" fillId="2" borderId="2" xfId="3" applyNumberFormat="1" applyFill="1"/>
    <xf numFmtId="4" fontId="1" fillId="2" borderId="2" xfId="2" applyNumberFormat="1" applyFill="1"/>
    <xf numFmtId="4" fontId="4" fillId="2" borderId="2" xfId="3" applyNumberFormat="1" applyFill="1"/>
    <xf numFmtId="0" fontId="4" fillId="5" borderId="2" xfId="1" applyAlignment="1">
      <alignment horizontal="right"/>
    </xf>
    <xf numFmtId="0" fontId="3" fillId="3" borderId="0" xfId="0" applyFont="1" applyFill="1" applyAlignment="1">
      <alignment horizontal="center" vertical="center"/>
    </xf>
    <xf numFmtId="0" fontId="3" fillId="2" borderId="0" xfId="0" applyFont="1" applyFill="1" applyAlignment="1">
      <alignment horizontal="center" vertical="center"/>
    </xf>
    <xf numFmtId="0" fontId="3" fillId="8" borderId="4" xfId="0" applyFont="1" applyFill="1" applyBorder="1" applyAlignment="1">
      <alignment horizontal="left" wrapText="1" indent="4"/>
    </xf>
    <xf numFmtId="0" fontId="3" fillId="8" borderId="3" xfId="0" applyFont="1" applyFill="1" applyBorder="1" applyAlignment="1">
      <alignment horizontal="left" wrapText="1" indent="4"/>
    </xf>
    <xf numFmtId="0" fontId="3" fillId="8" borderId="5" xfId="0" applyFont="1" applyFill="1" applyBorder="1" applyAlignment="1">
      <alignment horizontal="left" wrapText="1" indent="4"/>
    </xf>
    <xf numFmtId="0" fontId="1" fillId="0" borderId="4" xfId="0" applyFont="1" applyBorder="1" applyAlignment="1">
      <alignment horizontal="left" vertical="center" wrapText="1"/>
    </xf>
    <xf numFmtId="0" fontId="1" fillId="2" borderId="3" xfId="0" applyFont="1" applyFill="1" applyBorder="1" applyAlignment="1">
      <alignment horizontal="left" vertical="center" wrapText="1"/>
    </xf>
    <xf numFmtId="0" fontId="1" fillId="0" borderId="3" xfId="0" applyFont="1" applyBorder="1" applyAlignment="1">
      <alignment horizontal="left" vertical="center" wrapText="1"/>
    </xf>
    <xf numFmtId="0" fontId="1" fillId="0" borderId="5" xfId="0" applyFont="1" applyBorder="1" applyAlignment="1">
      <alignment horizontal="left" vertical="center" wrapText="1"/>
    </xf>
  </cellXfs>
  <cellStyles count="9">
    <cellStyle name="gelb_inhalt" xfId="6" xr:uid="{00000000-0005-0000-0000-000007000000}"/>
    <cellStyle name="gruen_inhalt" xfId="5" xr:uid="{00000000-0005-0000-0000-000006000000}"/>
    <cellStyle name="Hellblau_inhalt" xfId="4" xr:uid="{00000000-0005-0000-0000-000005000000}"/>
    <cellStyle name="overview_dunkelgrau" xfId="8" xr:uid="{00000000-0005-0000-0000-000009000000}"/>
    <cellStyle name="rot_inhalt" xfId="7" xr:uid="{00000000-0005-0000-0000-000008000000}"/>
    <cellStyle name="Standard" xfId="0" builtinId="0"/>
    <cellStyle name="Wert_dunkelgrau" xfId="3" xr:uid="{00000000-0005-0000-0000-000003000000}"/>
    <cellStyle name="Wert_hellgrau" xfId="2" xr:uid="{00000000-0005-0000-0000-000002000000}"/>
    <cellStyle name="Wertezelle" xfId="1" xr:uid="{00000000-0005-0000-0000-000001000000}"/>
  </cellStyles>
  <dxfs count="1">
    <dxf>
      <fill>
        <patternFill>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638175</xdr:colOff>
      <xdr:row>2</xdr:row>
      <xdr:rowOff>238125</xdr:rowOff>
    </xdr:from>
    <xdr:to>
      <xdr:col>0</xdr:col>
      <xdr:colOff>2038350</xdr:colOff>
      <xdr:row>4</xdr:row>
      <xdr:rowOff>28575</xdr:rowOff>
    </xdr:to>
    <xdr:pic>
      <xdr:nvPicPr>
        <xdr:cNvPr id="2" name="pic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74"/>
  <sheetViews>
    <sheetView showGridLines="0" tabSelected="1" view="pageBreakPreview" zoomScale="80" workbookViewId="0">
      <pane xSplit="2" ySplit="4" topLeftCell="C5" activePane="bottomRight" state="frozen"/>
      <selection pane="topRight" activeCell="C1" sqref="C1"/>
      <selection pane="bottomLeft" activeCell="A5" sqref="A5"/>
      <selection pane="bottomRight" activeCell="F5" sqref="F5"/>
    </sheetView>
  </sheetViews>
  <sheetFormatPr baseColWidth="10" defaultColWidth="8.88671875" defaultRowHeight="14.4" x14ac:dyDescent="0.3"/>
  <cols>
    <col min="1" max="1" width="40" customWidth="1"/>
    <col min="2" max="2" width="3" style="4" hidden="1" customWidth="1"/>
    <col min="3" max="11" width="15" style="3" customWidth="1"/>
  </cols>
  <sheetData>
    <row r="2" spans="1:11" ht="34.049999999999997" customHeight="1" x14ac:dyDescent="0.3">
      <c r="A2" s="22" t="s">
        <v>27</v>
      </c>
      <c r="B2" s="23" t="s">
        <v>0</v>
      </c>
      <c r="C2" s="22" t="s">
        <v>0</v>
      </c>
      <c r="D2" s="22" t="s">
        <v>0</v>
      </c>
      <c r="E2" s="22" t="s">
        <v>0</v>
      </c>
      <c r="F2" s="22" t="s">
        <v>0</v>
      </c>
      <c r="G2" s="22" t="s">
        <v>0</v>
      </c>
      <c r="H2" s="22" t="s">
        <v>0</v>
      </c>
      <c r="I2" s="22" t="s">
        <v>0</v>
      </c>
      <c r="J2" s="22" t="s">
        <v>0</v>
      </c>
      <c r="K2" s="22" t="s">
        <v>0</v>
      </c>
    </row>
    <row r="4" spans="1:11" ht="45" customHeight="1" x14ac:dyDescent="0.3">
      <c r="C4" s="5" t="s">
        <v>1</v>
      </c>
      <c r="D4" s="5" t="s">
        <v>2</v>
      </c>
      <c r="E4" s="5" t="s">
        <v>26</v>
      </c>
      <c r="F4" s="5" t="s">
        <v>29</v>
      </c>
      <c r="G4" s="5" t="s">
        <v>3</v>
      </c>
      <c r="H4" s="5" t="s">
        <v>4</v>
      </c>
      <c r="I4" s="5" t="s">
        <v>5</v>
      </c>
      <c r="J4" s="5" t="s">
        <v>6</v>
      </c>
      <c r="K4" s="5" t="s">
        <v>7</v>
      </c>
    </row>
    <row r="5" spans="1:11" ht="7.05" customHeight="1" x14ac:dyDescent="0.3"/>
    <row r="6" spans="1:11" s="6" customFormat="1" x14ac:dyDescent="0.3">
      <c r="A6" s="1" t="s">
        <v>8</v>
      </c>
      <c r="B6" s="15"/>
      <c r="C6" s="1"/>
      <c r="D6" s="1"/>
      <c r="E6" s="1"/>
      <c r="F6" s="21" t="s">
        <v>28</v>
      </c>
      <c r="G6" s="1"/>
      <c r="H6" s="1"/>
      <c r="I6" s="1"/>
      <c r="J6" s="1"/>
      <c r="K6" s="1"/>
    </row>
    <row r="7" spans="1:11" x14ac:dyDescent="0.3">
      <c r="A7" s="2" t="s">
        <v>9</v>
      </c>
      <c r="B7" s="16"/>
      <c r="C7" s="2"/>
      <c r="D7" s="2"/>
      <c r="E7" s="2"/>
      <c r="F7" s="2"/>
      <c r="G7" s="2">
        <v>3</v>
      </c>
      <c r="H7" s="2">
        <v>3</v>
      </c>
      <c r="I7" s="2">
        <v>11</v>
      </c>
      <c r="J7" s="2">
        <v>11</v>
      </c>
      <c r="K7" s="2">
        <v>11</v>
      </c>
    </row>
    <row r="8" spans="1:11" s="7" customFormat="1" x14ac:dyDescent="0.3">
      <c r="A8" s="8" t="s">
        <v>10</v>
      </c>
      <c r="B8" s="17"/>
      <c r="C8" s="8"/>
      <c r="D8" s="8"/>
      <c r="E8" s="8"/>
      <c r="F8" s="8"/>
      <c r="G8" s="8">
        <v>580.30520000000001</v>
      </c>
      <c r="H8" s="8">
        <v>649.28129999999999</v>
      </c>
      <c r="I8" s="8">
        <v>2338.5369999999998</v>
      </c>
      <c r="J8" s="8">
        <v>2479</v>
      </c>
      <c r="K8" s="8">
        <v>2587</v>
      </c>
    </row>
    <row r="9" spans="1:11" s="9" customFormat="1" x14ac:dyDescent="0.3">
      <c r="A9" s="10" t="s">
        <v>11</v>
      </c>
      <c r="B9" s="18"/>
      <c r="C9" s="10">
        <v>1991.3</v>
      </c>
      <c r="D9" s="10">
        <v>2320.9</v>
      </c>
      <c r="E9" s="10">
        <v>523</v>
      </c>
      <c r="F9" s="10">
        <v>578</v>
      </c>
      <c r="G9" s="10">
        <v>571.35090000000002</v>
      </c>
      <c r="H9" s="10">
        <v>645.58709999999996</v>
      </c>
      <c r="I9" s="10">
        <v>2321.6941999999999</v>
      </c>
      <c r="J9" s="10">
        <v>2291.7779999999998</v>
      </c>
      <c r="K9" s="10">
        <v>2343.7804999999998</v>
      </c>
    </row>
    <row r="10" spans="1:11" s="7" customFormat="1" x14ac:dyDescent="0.3">
      <c r="A10" s="8" t="s">
        <v>12</v>
      </c>
      <c r="B10" s="17"/>
      <c r="C10" s="8"/>
      <c r="D10" s="8"/>
      <c r="E10" s="8"/>
      <c r="F10" s="8"/>
      <c r="G10" s="8">
        <v>568.9</v>
      </c>
      <c r="H10" s="8">
        <v>644.79999999999995</v>
      </c>
      <c r="I10" s="8">
        <v>2323</v>
      </c>
      <c r="J10" s="8">
        <v>2379</v>
      </c>
      <c r="K10" s="8">
        <v>2426</v>
      </c>
    </row>
    <row r="11" spans="1:11" s="7" customFormat="1" x14ac:dyDescent="0.3">
      <c r="A11" s="8" t="s">
        <v>13</v>
      </c>
      <c r="B11" s="17"/>
      <c r="C11" s="8"/>
      <c r="D11" s="8"/>
      <c r="E11" s="8"/>
      <c r="F11" s="8"/>
      <c r="G11" s="8">
        <v>564.84749999999997</v>
      </c>
      <c r="H11" s="8">
        <v>642.67999999999995</v>
      </c>
      <c r="I11" s="8">
        <v>2304</v>
      </c>
      <c r="J11" s="8">
        <v>1887.6224</v>
      </c>
      <c r="K11" s="8">
        <v>1903.2</v>
      </c>
    </row>
    <row r="12" spans="1:11" s="6" customFormat="1" hidden="1" x14ac:dyDescent="0.3">
      <c r="A12" s="1"/>
      <c r="B12" s="15"/>
      <c r="C12" s="1"/>
      <c r="D12" s="1"/>
      <c r="E12" s="1"/>
      <c r="F12" s="1"/>
      <c r="G12" s="1"/>
      <c r="H12" s="1"/>
      <c r="I12" s="1"/>
      <c r="J12" s="1"/>
      <c r="K12" s="1"/>
    </row>
    <row r="13" spans="1:11" hidden="1" x14ac:dyDescent="0.3">
      <c r="A13" s="2"/>
      <c r="B13" s="16"/>
      <c r="C13" s="2"/>
      <c r="D13" s="2"/>
      <c r="E13" s="2"/>
      <c r="F13" s="2"/>
      <c r="G13" s="2" t="s">
        <v>14</v>
      </c>
      <c r="H13" s="2" t="s">
        <v>14</v>
      </c>
      <c r="I13" s="2" t="s">
        <v>14</v>
      </c>
      <c r="J13" s="2" t="s">
        <v>14</v>
      </c>
      <c r="K13" s="2" t="s">
        <v>14</v>
      </c>
    </row>
    <row r="14" spans="1:11" s="7" customFormat="1" hidden="1" x14ac:dyDescent="0.3">
      <c r="A14" s="8"/>
      <c r="B14" s="17"/>
      <c r="C14" s="8"/>
      <c r="D14" s="8"/>
      <c r="E14" s="8"/>
      <c r="F14" s="8"/>
      <c r="G14" s="8" t="s">
        <v>14</v>
      </c>
      <c r="H14" s="8" t="s">
        <v>14</v>
      </c>
      <c r="I14" s="8" t="s">
        <v>14</v>
      </c>
      <c r="J14" s="8" t="s">
        <v>14</v>
      </c>
      <c r="K14" s="8" t="s">
        <v>14</v>
      </c>
    </row>
    <row r="15" spans="1:11" s="9" customFormat="1" hidden="1" x14ac:dyDescent="0.3">
      <c r="A15" s="10"/>
      <c r="B15" s="18"/>
      <c r="C15" s="10"/>
      <c r="D15" s="10"/>
      <c r="E15" s="10" t="s">
        <v>14</v>
      </c>
      <c r="F15" s="10" t="s">
        <v>14</v>
      </c>
      <c r="G15" s="10" t="s">
        <v>14</v>
      </c>
      <c r="H15" s="10" t="s">
        <v>14</v>
      </c>
      <c r="I15" s="10" t="s">
        <v>14</v>
      </c>
      <c r="J15" s="10" t="s">
        <v>14</v>
      </c>
      <c r="K15" s="10" t="s">
        <v>14</v>
      </c>
    </row>
    <row r="16" spans="1:11" s="7" customFormat="1" hidden="1" x14ac:dyDescent="0.3">
      <c r="A16" s="8"/>
      <c r="B16" s="17"/>
      <c r="C16" s="8"/>
      <c r="D16" s="8"/>
      <c r="E16" s="8"/>
      <c r="F16" s="8"/>
      <c r="G16" s="8" t="s">
        <v>14</v>
      </c>
      <c r="H16" s="8" t="s">
        <v>14</v>
      </c>
      <c r="I16" s="8" t="s">
        <v>14</v>
      </c>
      <c r="J16" s="8" t="s">
        <v>14</v>
      </c>
      <c r="K16" s="8" t="s">
        <v>14</v>
      </c>
    </row>
    <row r="17" spans="1:11" s="7" customFormat="1" hidden="1" x14ac:dyDescent="0.3">
      <c r="A17" s="8"/>
      <c r="B17" s="17"/>
      <c r="C17" s="8"/>
      <c r="D17" s="8"/>
      <c r="E17" s="8"/>
      <c r="F17" s="8"/>
      <c r="G17" s="8" t="s">
        <v>14</v>
      </c>
      <c r="H17" s="8" t="s">
        <v>14</v>
      </c>
      <c r="I17" s="8" t="s">
        <v>14</v>
      </c>
      <c r="J17" s="8" t="s">
        <v>14</v>
      </c>
      <c r="K17" s="8" t="s">
        <v>14</v>
      </c>
    </row>
    <row r="18" spans="1:11" s="6" customFormat="1" x14ac:dyDescent="0.3">
      <c r="A18" s="1" t="s">
        <v>15</v>
      </c>
      <c r="B18" s="15"/>
      <c r="C18" s="1"/>
      <c r="D18" s="1"/>
      <c r="E18" s="1"/>
      <c r="F18" s="1"/>
      <c r="G18" s="1"/>
      <c r="H18" s="1"/>
      <c r="I18" s="1"/>
      <c r="J18" s="1"/>
      <c r="K18" s="1"/>
    </row>
    <row r="19" spans="1:11" x14ac:dyDescent="0.3">
      <c r="A19" s="2" t="s">
        <v>9</v>
      </c>
      <c r="B19" s="16"/>
      <c r="C19" s="2"/>
      <c r="D19" s="2"/>
      <c r="E19" s="2"/>
      <c r="F19" s="2"/>
      <c r="G19" s="2">
        <v>3</v>
      </c>
      <c r="H19" s="2">
        <v>3</v>
      </c>
      <c r="I19" s="2">
        <v>9</v>
      </c>
      <c r="J19" s="2">
        <v>9</v>
      </c>
      <c r="K19" s="2">
        <v>9</v>
      </c>
    </row>
    <row r="20" spans="1:11" s="7" customFormat="1" x14ac:dyDescent="0.3">
      <c r="A20" s="8" t="s">
        <v>10</v>
      </c>
      <c r="B20" s="17"/>
      <c r="C20" s="8"/>
      <c r="D20" s="8"/>
      <c r="E20" s="8"/>
      <c r="F20" s="8"/>
      <c r="G20" s="8">
        <v>106.37439999999999</v>
      </c>
      <c r="H20" s="8">
        <v>134.31319999999999</v>
      </c>
      <c r="I20" s="8">
        <v>408.62400000000002</v>
      </c>
      <c r="J20" s="8">
        <v>460</v>
      </c>
      <c r="K20" s="8">
        <v>500</v>
      </c>
    </row>
    <row r="21" spans="1:11" s="9" customFormat="1" x14ac:dyDescent="0.3">
      <c r="A21" s="10" t="s">
        <v>11</v>
      </c>
      <c r="B21" s="18"/>
      <c r="C21" s="10">
        <v>388</v>
      </c>
      <c r="D21" s="10">
        <v>384</v>
      </c>
      <c r="E21" s="10">
        <v>67</v>
      </c>
      <c r="F21" s="10">
        <v>102</v>
      </c>
      <c r="G21" s="10">
        <v>104.62479999999999</v>
      </c>
      <c r="H21" s="10">
        <v>119.94029999999999</v>
      </c>
      <c r="I21" s="10">
        <v>398.70499999999998</v>
      </c>
      <c r="J21" s="10">
        <v>395.5761</v>
      </c>
      <c r="K21" s="10">
        <v>419.23540000000003</v>
      </c>
    </row>
    <row r="22" spans="1:11" s="7" customFormat="1" x14ac:dyDescent="0.3">
      <c r="A22" s="8" t="s">
        <v>12</v>
      </c>
      <c r="B22" s="17"/>
      <c r="C22" s="8"/>
      <c r="D22" s="8"/>
      <c r="E22" s="8"/>
      <c r="F22" s="8"/>
      <c r="G22" s="8">
        <v>105</v>
      </c>
      <c r="H22" s="8">
        <v>123.2</v>
      </c>
      <c r="I22" s="8">
        <v>404</v>
      </c>
      <c r="J22" s="8">
        <v>429.12810000000002</v>
      </c>
      <c r="K22" s="8">
        <v>454.96929999999998</v>
      </c>
    </row>
    <row r="23" spans="1:11" s="7" customFormat="1" x14ac:dyDescent="0.3">
      <c r="A23" s="8" t="s">
        <v>13</v>
      </c>
      <c r="B23" s="17"/>
      <c r="C23" s="8"/>
      <c r="D23" s="8"/>
      <c r="E23" s="8"/>
      <c r="F23" s="8"/>
      <c r="G23" s="8">
        <v>102.5</v>
      </c>
      <c r="H23" s="8">
        <v>102.3078</v>
      </c>
      <c r="I23" s="8">
        <v>363</v>
      </c>
      <c r="J23" s="8">
        <v>287.72109999999998</v>
      </c>
      <c r="K23" s="8">
        <v>313.39999999999998</v>
      </c>
    </row>
    <row r="24" spans="1:11" s="6" customFormat="1" x14ac:dyDescent="0.3">
      <c r="A24" s="1" t="s">
        <v>16</v>
      </c>
      <c r="B24" s="15"/>
      <c r="C24" s="1"/>
      <c r="D24" s="1"/>
      <c r="E24" s="1"/>
      <c r="F24" s="1"/>
      <c r="G24" s="1"/>
      <c r="H24" s="1"/>
      <c r="I24" s="1"/>
      <c r="J24" s="1"/>
      <c r="K24" s="1"/>
    </row>
    <row r="25" spans="1:11" x14ac:dyDescent="0.3">
      <c r="A25" s="2" t="s">
        <v>9</v>
      </c>
      <c r="B25" s="16"/>
      <c r="C25" s="2"/>
      <c r="D25" s="2"/>
      <c r="E25" s="2"/>
      <c r="F25" s="2"/>
      <c r="G25" s="2">
        <v>3</v>
      </c>
      <c r="H25" s="2">
        <v>3</v>
      </c>
      <c r="I25" s="2">
        <v>9</v>
      </c>
      <c r="J25" s="2">
        <v>9</v>
      </c>
      <c r="K25" s="2">
        <v>9</v>
      </c>
    </row>
    <row r="26" spans="1:11" s="7" customFormat="1" x14ac:dyDescent="0.3">
      <c r="A26" s="8" t="s">
        <v>10</v>
      </c>
      <c r="B26" s="17"/>
      <c r="C26" s="8"/>
      <c r="D26" s="8"/>
      <c r="E26" s="8"/>
      <c r="F26" s="8"/>
      <c r="G26" s="8">
        <v>18.456700000000001</v>
      </c>
      <c r="H26" s="8">
        <v>20.686399999999999</v>
      </c>
      <c r="I26" s="8">
        <v>17.563500000000001</v>
      </c>
      <c r="J26" s="8">
        <v>18.600100000000001</v>
      </c>
      <c r="K26" s="8">
        <v>19.348800000000001</v>
      </c>
    </row>
    <row r="27" spans="1:11" s="9" customFormat="1" x14ac:dyDescent="0.3">
      <c r="A27" s="10" t="s">
        <v>11</v>
      </c>
      <c r="B27" s="18"/>
      <c r="C27" s="10">
        <v>19.5</v>
      </c>
      <c r="D27" s="10">
        <v>16.5</v>
      </c>
      <c r="E27" s="10">
        <v>12.810700000000001</v>
      </c>
      <c r="F27" s="10">
        <v>17.647099999999998</v>
      </c>
      <c r="G27" s="10">
        <v>18.311299999999999</v>
      </c>
      <c r="H27" s="10">
        <v>18.570699999999999</v>
      </c>
      <c r="I27" s="10">
        <v>17.170999999999999</v>
      </c>
      <c r="J27" s="10">
        <v>17.3</v>
      </c>
      <c r="K27" s="10">
        <v>17.897400000000001</v>
      </c>
    </row>
    <row r="28" spans="1:11" s="7" customFormat="1" x14ac:dyDescent="0.3">
      <c r="A28" s="8" t="s">
        <v>12</v>
      </c>
      <c r="B28" s="17"/>
      <c r="C28" s="8"/>
      <c r="D28" s="8"/>
      <c r="E28" s="8"/>
      <c r="F28" s="8"/>
      <c r="G28" s="8">
        <v>18.3308</v>
      </c>
      <c r="H28" s="8">
        <v>19.1067</v>
      </c>
      <c r="I28" s="8">
        <v>17.376300000000001</v>
      </c>
      <c r="J28" s="8">
        <v>17.8294</v>
      </c>
      <c r="K28" s="8">
        <v>18.293800000000001</v>
      </c>
    </row>
    <row r="29" spans="1:11" s="7" customFormat="1" x14ac:dyDescent="0.3">
      <c r="A29" s="8" t="s">
        <v>13</v>
      </c>
      <c r="B29" s="17"/>
      <c r="C29" s="8"/>
      <c r="D29" s="8"/>
      <c r="E29" s="8"/>
      <c r="F29" s="8"/>
      <c r="G29" s="8">
        <v>18.1465</v>
      </c>
      <c r="H29" s="8">
        <v>15.918900000000001</v>
      </c>
      <c r="I29" s="8">
        <v>15.7552</v>
      </c>
      <c r="J29" s="8">
        <v>15.2425</v>
      </c>
      <c r="K29" s="8">
        <v>16.183499999999999</v>
      </c>
    </row>
    <row r="30" spans="1:11" s="6" customFormat="1" x14ac:dyDescent="0.3">
      <c r="A30" s="1" t="s">
        <v>17</v>
      </c>
      <c r="B30" s="15"/>
      <c r="C30" s="1"/>
      <c r="D30" s="1"/>
      <c r="E30" s="1"/>
      <c r="F30" s="1"/>
      <c r="G30" s="1"/>
      <c r="H30" s="1"/>
      <c r="I30" s="1"/>
      <c r="J30" s="1"/>
      <c r="K30" s="1"/>
    </row>
    <row r="31" spans="1:11" x14ac:dyDescent="0.3">
      <c r="A31" s="2" t="s">
        <v>9</v>
      </c>
      <c r="B31" s="16"/>
      <c r="C31" s="2"/>
      <c r="D31" s="2"/>
      <c r="E31" s="2"/>
      <c r="F31" s="2"/>
      <c r="G31" s="2">
        <v>2</v>
      </c>
      <c r="H31" s="2">
        <v>2</v>
      </c>
      <c r="I31" s="2">
        <v>7</v>
      </c>
      <c r="J31" s="2">
        <v>7</v>
      </c>
      <c r="K31" s="2">
        <v>7</v>
      </c>
    </row>
    <row r="32" spans="1:11" s="7" customFormat="1" x14ac:dyDescent="0.3">
      <c r="A32" s="8" t="s">
        <v>10</v>
      </c>
      <c r="B32" s="17"/>
      <c r="C32" s="8"/>
      <c r="D32" s="8"/>
      <c r="E32" s="8"/>
      <c r="F32" s="8"/>
      <c r="G32" s="8">
        <v>22.45</v>
      </c>
      <c r="H32" s="8">
        <v>53.550400000000003</v>
      </c>
      <c r="I32" s="8">
        <v>81.781400000000005</v>
      </c>
      <c r="J32" s="8">
        <v>94.124499999999998</v>
      </c>
      <c r="K32" s="8">
        <v>115.613</v>
      </c>
    </row>
    <row r="33" spans="1:11" s="9" customFormat="1" x14ac:dyDescent="0.3">
      <c r="A33" s="10" t="s">
        <v>11</v>
      </c>
      <c r="B33" s="18"/>
      <c r="C33" s="10">
        <v>138.19999999999999</v>
      </c>
      <c r="D33" s="10">
        <v>-64.599999999999994</v>
      </c>
      <c r="E33" s="10" t="s">
        <v>14</v>
      </c>
      <c r="F33" s="10" t="s">
        <v>14</v>
      </c>
      <c r="G33" s="10">
        <v>19.568999999999999</v>
      </c>
      <c r="H33" s="10">
        <v>42.755200000000002</v>
      </c>
      <c r="I33" s="10">
        <v>55.6404</v>
      </c>
      <c r="J33" s="10">
        <v>76.573400000000007</v>
      </c>
      <c r="K33" s="10">
        <v>96.352500000000006</v>
      </c>
    </row>
    <row r="34" spans="1:11" s="7" customFormat="1" x14ac:dyDescent="0.3">
      <c r="A34" s="8" t="s">
        <v>12</v>
      </c>
      <c r="B34" s="17"/>
      <c r="C34" s="8"/>
      <c r="D34" s="8"/>
      <c r="E34" s="8"/>
      <c r="F34" s="8"/>
      <c r="G34" s="8">
        <v>19.568999999999999</v>
      </c>
      <c r="H34" s="8">
        <v>42.755200000000002</v>
      </c>
      <c r="I34" s="8">
        <v>54.937100000000001</v>
      </c>
      <c r="J34" s="8">
        <v>71.497799999999998</v>
      </c>
      <c r="K34" s="8">
        <v>96.366600000000005</v>
      </c>
    </row>
    <row r="35" spans="1:11" s="7" customFormat="1" x14ac:dyDescent="0.3">
      <c r="A35" s="8" t="s">
        <v>13</v>
      </c>
      <c r="B35" s="17"/>
      <c r="C35" s="8"/>
      <c r="D35" s="8"/>
      <c r="E35" s="8"/>
      <c r="F35" s="8"/>
      <c r="G35" s="8">
        <v>16.687899999999999</v>
      </c>
      <c r="H35" s="8">
        <v>31.959900000000001</v>
      </c>
      <c r="I35" s="8">
        <v>27</v>
      </c>
      <c r="J35" s="8">
        <v>57.314</v>
      </c>
      <c r="K35" s="8">
        <v>71.017899999999997</v>
      </c>
    </row>
    <row r="36" spans="1:11" s="6" customFormat="1" x14ac:dyDescent="0.3">
      <c r="A36" s="1" t="s">
        <v>18</v>
      </c>
      <c r="B36" s="15"/>
      <c r="C36" s="1"/>
      <c r="D36" s="1"/>
      <c r="E36" s="1"/>
      <c r="F36" s="1"/>
      <c r="G36" s="1"/>
      <c r="H36" s="1"/>
      <c r="I36" s="1"/>
      <c r="J36" s="1"/>
      <c r="K36" s="1"/>
    </row>
    <row r="37" spans="1:11" x14ac:dyDescent="0.3">
      <c r="A37" s="2" t="s">
        <v>9</v>
      </c>
      <c r="B37" s="16"/>
      <c r="C37" s="2"/>
      <c r="D37" s="2"/>
      <c r="E37" s="2"/>
      <c r="F37" s="2"/>
      <c r="G37" s="2">
        <v>2</v>
      </c>
      <c r="H37" s="2">
        <v>2</v>
      </c>
      <c r="I37" s="2">
        <v>7</v>
      </c>
      <c r="J37" s="2">
        <v>7</v>
      </c>
      <c r="K37" s="2">
        <v>7</v>
      </c>
    </row>
    <row r="38" spans="1:11" s="7" customFormat="1" x14ac:dyDescent="0.3">
      <c r="A38" s="8" t="s">
        <v>10</v>
      </c>
      <c r="B38" s="17"/>
      <c r="C38" s="8"/>
      <c r="D38" s="8"/>
      <c r="E38" s="8"/>
      <c r="F38" s="8"/>
      <c r="G38" s="8">
        <v>34.54</v>
      </c>
      <c r="H38" s="8">
        <v>34.54</v>
      </c>
      <c r="I38" s="8">
        <v>34.54</v>
      </c>
      <c r="J38" s="8">
        <v>34.54</v>
      </c>
      <c r="K38" s="8">
        <v>34.54</v>
      </c>
    </row>
    <row r="39" spans="1:11" s="9" customFormat="1" x14ac:dyDescent="0.3">
      <c r="A39" s="10" t="s">
        <v>11</v>
      </c>
      <c r="B39" s="18"/>
      <c r="C39" s="10">
        <v>34.54</v>
      </c>
      <c r="D39" s="10">
        <v>34.54</v>
      </c>
      <c r="E39" s="10" t="s">
        <v>14</v>
      </c>
      <c r="F39" s="10" t="s">
        <v>14</v>
      </c>
      <c r="G39" s="10">
        <v>34.54</v>
      </c>
      <c r="H39" s="10">
        <v>34.54</v>
      </c>
      <c r="I39" s="10">
        <v>34.54</v>
      </c>
      <c r="J39" s="10">
        <v>34.54</v>
      </c>
      <c r="K39" s="10">
        <v>34.54</v>
      </c>
    </row>
    <row r="40" spans="1:11" s="7" customFormat="1" x14ac:dyDescent="0.3">
      <c r="A40" s="8" t="s">
        <v>12</v>
      </c>
      <c r="B40" s="17"/>
      <c r="C40" s="8"/>
      <c r="D40" s="8"/>
      <c r="E40" s="8"/>
      <c r="F40" s="8"/>
      <c r="G40" s="8">
        <v>34.54</v>
      </c>
      <c r="H40" s="8">
        <v>34.54</v>
      </c>
      <c r="I40" s="8">
        <v>34.54</v>
      </c>
      <c r="J40" s="8">
        <v>34.54</v>
      </c>
      <c r="K40" s="8">
        <v>34.54</v>
      </c>
    </row>
    <row r="41" spans="1:11" s="7" customFormat="1" x14ac:dyDescent="0.3">
      <c r="A41" s="8" t="s">
        <v>13</v>
      </c>
      <c r="B41" s="17"/>
      <c r="C41" s="8"/>
      <c r="D41" s="8"/>
      <c r="E41" s="8"/>
      <c r="F41" s="8"/>
      <c r="G41" s="8">
        <v>34.54</v>
      </c>
      <c r="H41" s="8">
        <v>34.54</v>
      </c>
      <c r="I41" s="8">
        <v>34.54</v>
      </c>
      <c r="J41" s="8">
        <v>34.54</v>
      </c>
      <c r="K41" s="8">
        <v>34.54</v>
      </c>
    </row>
    <row r="42" spans="1:11" s="6" customFormat="1" x14ac:dyDescent="0.3">
      <c r="A42" s="1" t="s">
        <v>19</v>
      </c>
      <c r="B42" s="15"/>
      <c r="C42" s="1"/>
      <c r="D42" s="1"/>
      <c r="E42" s="1"/>
      <c r="F42" s="1"/>
      <c r="G42" s="1"/>
      <c r="H42" s="1"/>
      <c r="I42" s="1"/>
      <c r="J42" s="1"/>
      <c r="K42" s="1"/>
    </row>
    <row r="43" spans="1:11" x14ac:dyDescent="0.3">
      <c r="A43" s="2" t="s">
        <v>9</v>
      </c>
      <c r="B43" s="16"/>
      <c r="C43" s="2"/>
      <c r="D43" s="2"/>
      <c r="E43" s="2"/>
      <c r="F43" s="2"/>
      <c r="G43" s="2">
        <v>2</v>
      </c>
      <c r="H43" s="2">
        <v>2</v>
      </c>
      <c r="I43" s="2">
        <v>7</v>
      </c>
      <c r="J43" s="2">
        <v>7</v>
      </c>
      <c r="K43" s="2">
        <v>7</v>
      </c>
    </row>
    <row r="44" spans="1:11" s="11" customFormat="1" x14ac:dyDescent="0.3">
      <c r="A44" s="12" t="s">
        <v>10</v>
      </c>
      <c r="B44" s="19"/>
      <c r="C44" s="12"/>
      <c r="D44" s="12"/>
      <c r="E44" s="12"/>
      <c r="F44" s="12"/>
      <c r="G44" s="12">
        <v>0.65</v>
      </c>
      <c r="H44" s="12">
        <v>1.5504</v>
      </c>
      <c r="I44" s="12">
        <v>2.3677000000000001</v>
      </c>
      <c r="J44" s="12">
        <v>2.7250999999999999</v>
      </c>
      <c r="K44" s="12">
        <v>3.3472</v>
      </c>
    </row>
    <row r="45" spans="1:11" s="13" customFormat="1" x14ac:dyDescent="0.3">
      <c r="A45" s="14" t="s">
        <v>11</v>
      </c>
      <c r="B45" s="20"/>
      <c r="C45" s="14">
        <v>4</v>
      </c>
      <c r="D45" s="14">
        <v>-1.87</v>
      </c>
      <c r="E45" s="14" t="s">
        <v>14</v>
      </c>
      <c r="F45" s="14" t="s">
        <v>14</v>
      </c>
      <c r="G45" s="14">
        <v>0.56659999999999999</v>
      </c>
      <c r="H45" s="14">
        <v>1.2379</v>
      </c>
      <c r="I45" s="14">
        <v>1.6106</v>
      </c>
      <c r="J45" s="14">
        <v>2.2185999999999999</v>
      </c>
      <c r="K45" s="14">
        <v>2.7913999999999999</v>
      </c>
    </row>
    <row r="46" spans="1:11" s="11" customFormat="1" x14ac:dyDescent="0.3">
      <c r="A46" s="12" t="s">
        <v>12</v>
      </c>
      <c r="B46" s="19"/>
      <c r="C46" s="12"/>
      <c r="D46" s="12"/>
      <c r="E46" s="12"/>
      <c r="F46" s="12"/>
      <c r="G46" s="12">
        <v>0.56659999999999999</v>
      </c>
      <c r="H46" s="12">
        <v>1.2379</v>
      </c>
      <c r="I46" s="12">
        <v>1.5905</v>
      </c>
      <c r="J46" s="12">
        <v>2.0699999999999998</v>
      </c>
      <c r="K46" s="12">
        <v>2.79</v>
      </c>
    </row>
    <row r="47" spans="1:11" s="11" customFormat="1" x14ac:dyDescent="0.3">
      <c r="A47" s="12" t="s">
        <v>13</v>
      </c>
      <c r="B47" s="19"/>
      <c r="C47" s="12"/>
      <c r="D47" s="12"/>
      <c r="E47" s="12"/>
      <c r="F47" s="12"/>
      <c r="G47" s="12">
        <v>0.48309999999999997</v>
      </c>
      <c r="H47" s="12">
        <v>0.92530000000000001</v>
      </c>
      <c r="I47" s="12">
        <v>0.78</v>
      </c>
      <c r="J47" s="12">
        <v>1.6594</v>
      </c>
      <c r="K47" s="12">
        <v>2.0560999999999998</v>
      </c>
    </row>
    <row r="48" spans="1:11" s="6" customFormat="1" x14ac:dyDescent="0.3">
      <c r="A48" s="1" t="s">
        <v>20</v>
      </c>
      <c r="B48" s="15"/>
      <c r="C48" s="1"/>
      <c r="D48" s="1"/>
      <c r="E48" s="1"/>
      <c r="F48" s="1"/>
      <c r="G48" s="1"/>
      <c r="H48" s="1"/>
      <c r="I48" s="1"/>
      <c r="J48" s="1"/>
      <c r="K48" s="1"/>
    </row>
    <row r="49" spans="1:11" x14ac:dyDescent="0.3">
      <c r="A49" s="2" t="s">
        <v>9</v>
      </c>
      <c r="B49" s="16"/>
      <c r="C49" s="2"/>
      <c r="D49" s="2"/>
      <c r="E49" s="2"/>
      <c r="F49" s="2"/>
      <c r="G49" s="2">
        <v>0</v>
      </c>
      <c r="H49" s="2">
        <v>0</v>
      </c>
      <c r="I49" s="2">
        <v>9</v>
      </c>
      <c r="J49" s="2">
        <v>9</v>
      </c>
      <c r="K49" s="2">
        <v>9</v>
      </c>
    </row>
    <row r="50" spans="1:11" s="11" customFormat="1" x14ac:dyDescent="0.3">
      <c r="A50" s="12" t="s">
        <v>10</v>
      </c>
      <c r="B50" s="19"/>
      <c r="C50" s="12"/>
      <c r="D50" s="12"/>
      <c r="E50" s="12"/>
      <c r="F50" s="12"/>
      <c r="G50" s="12" t="s">
        <v>14</v>
      </c>
      <c r="H50" s="12" t="s">
        <v>14</v>
      </c>
      <c r="I50" s="12">
        <v>0.39760000000000001</v>
      </c>
      <c r="J50" s="12">
        <v>0.68130000000000002</v>
      </c>
      <c r="K50" s="12">
        <v>0.82020000000000004</v>
      </c>
    </row>
    <row r="51" spans="1:11" s="13" customFormat="1" x14ac:dyDescent="0.3">
      <c r="A51" s="14" t="s">
        <v>11</v>
      </c>
      <c r="B51" s="20"/>
      <c r="C51" s="14">
        <v>0.04</v>
      </c>
      <c r="D51" s="14">
        <v>0</v>
      </c>
      <c r="E51" s="14" t="s">
        <v>14</v>
      </c>
      <c r="F51" s="14" t="s">
        <v>14</v>
      </c>
      <c r="G51" s="14" t="s">
        <v>14</v>
      </c>
      <c r="H51" s="14" t="s">
        <v>14</v>
      </c>
      <c r="I51" s="14">
        <v>9.7500000000000003E-2</v>
      </c>
      <c r="J51" s="14">
        <v>0.2379</v>
      </c>
      <c r="K51" s="14">
        <v>0.3034</v>
      </c>
    </row>
    <row r="52" spans="1:11" s="11" customFormat="1" x14ac:dyDescent="0.3">
      <c r="A52" s="12" t="s">
        <v>12</v>
      </c>
      <c r="B52" s="19"/>
      <c r="C52" s="12"/>
      <c r="D52" s="12"/>
      <c r="E52" s="12"/>
      <c r="F52" s="12"/>
      <c r="G52" s="12" t="s">
        <v>14</v>
      </c>
      <c r="H52" s="12" t="s">
        <v>14</v>
      </c>
      <c r="I52" s="12">
        <v>0.04</v>
      </c>
      <c r="J52" s="12">
        <v>0.04</v>
      </c>
      <c r="K52" s="12">
        <v>0.04</v>
      </c>
    </row>
    <row r="53" spans="1:11" s="11" customFormat="1" x14ac:dyDescent="0.3">
      <c r="A53" s="12" t="s">
        <v>13</v>
      </c>
      <c r="B53" s="19"/>
      <c r="C53" s="12"/>
      <c r="D53" s="12"/>
      <c r="E53" s="12"/>
      <c r="F53" s="12"/>
      <c r="G53" s="12" t="s">
        <v>14</v>
      </c>
      <c r="H53" s="12" t="s">
        <v>14</v>
      </c>
      <c r="I53" s="12">
        <v>0</v>
      </c>
      <c r="J53" s="12">
        <v>0</v>
      </c>
      <c r="K53" s="12">
        <v>0</v>
      </c>
    </row>
    <row r="54" spans="1:11" s="6" customFormat="1" x14ac:dyDescent="0.3">
      <c r="A54" s="1" t="s">
        <v>21</v>
      </c>
      <c r="B54" s="15"/>
      <c r="C54" s="1"/>
      <c r="D54" s="1"/>
      <c r="E54" s="1"/>
      <c r="F54" s="1"/>
      <c r="G54" s="1"/>
      <c r="H54" s="1"/>
      <c r="I54" s="1"/>
      <c r="J54" s="1"/>
      <c r="K54" s="1"/>
    </row>
    <row r="55" spans="1:11" x14ac:dyDescent="0.3">
      <c r="A55" s="2" t="s">
        <v>9</v>
      </c>
      <c r="B55" s="16"/>
      <c r="C55" s="2"/>
      <c r="D55" s="2"/>
      <c r="E55" s="2"/>
      <c r="F55" s="2"/>
      <c r="G55" s="2">
        <v>0</v>
      </c>
      <c r="H55" s="2">
        <v>0</v>
      </c>
      <c r="I55" s="2">
        <v>6</v>
      </c>
      <c r="J55" s="2">
        <v>6</v>
      </c>
      <c r="K55" s="2">
        <v>6</v>
      </c>
    </row>
    <row r="56" spans="1:11" s="7" customFormat="1" x14ac:dyDescent="0.3">
      <c r="A56" s="8" t="s">
        <v>10</v>
      </c>
      <c r="B56" s="17"/>
      <c r="C56" s="8"/>
      <c r="D56" s="8"/>
      <c r="E56" s="8"/>
      <c r="F56" s="8"/>
      <c r="G56" s="8" t="s">
        <v>14</v>
      </c>
      <c r="H56" s="8" t="s">
        <v>14</v>
      </c>
      <c r="I56" s="8">
        <v>2324.6667000000002</v>
      </c>
      <c r="J56" s="8">
        <v>2109</v>
      </c>
      <c r="K56" s="8">
        <v>2074</v>
      </c>
    </row>
    <row r="57" spans="1:11" s="9" customFormat="1" x14ac:dyDescent="0.3">
      <c r="A57" s="10" t="s">
        <v>11</v>
      </c>
      <c r="B57" s="18"/>
      <c r="C57" s="10">
        <v>1100.3</v>
      </c>
      <c r="D57" s="10">
        <v>2012.9</v>
      </c>
      <c r="E57" s="10">
        <v>1954</v>
      </c>
      <c r="F57" s="10">
        <v>2058</v>
      </c>
      <c r="G57" s="10" t="s">
        <v>14</v>
      </c>
      <c r="H57" s="10" t="s">
        <v>14</v>
      </c>
      <c r="I57" s="10">
        <v>2033.7044000000001</v>
      </c>
      <c r="J57" s="10">
        <v>1548.0187000000001</v>
      </c>
      <c r="K57" s="10">
        <v>1589.1042</v>
      </c>
    </row>
    <row r="58" spans="1:11" s="7" customFormat="1" x14ac:dyDescent="0.3">
      <c r="A58" s="8" t="s">
        <v>12</v>
      </c>
      <c r="B58" s="17"/>
      <c r="C58" s="8"/>
      <c r="D58" s="8"/>
      <c r="E58" s="8"/>
      <c r="F58" s="8"/>
      <c r="G58" s="8" t="s">
        <v>14</v>
      </c>
      <c r="H58" s="8" t="s">
        <v>14</v>
      </c>
      <c r="I58" s="8">
        <v>2135</v>
      </c>
      <c r="J58" s="8">
        <v>1799.7170000000001</v>
      </c>
      <c r="K58" s="8">
        <v>2001</v>
      </c>
    </row>
    <row r="59" spans="1:11" s="7" customFormat="1" x14ac:dyDescent="0.3">
      <c r="A59" s="8" t="s">
        <v>13</v>
      </c>
      <c r="B59" s="17"/>
      <c r="C59" s="8"/>
      <c r="D59" s="8"/>
      <c r="E59" s="8"/>
      <c r="F59" s="8"/>
      <c r="G59" s="8" t="s">
        <v>14</v>
      </c>
      <c r="H59" s="8" t="s">
        <v>14</v>
      </c>
      <c r="I59" s="8">
        <v>1323.9</v>
      </c>
      <c r="J59" s="8">
        <v>724.37819999999999</v>
      </c>
      <c r="K59" s="8">
        <v>715.32989999999995</v>
      </c>
    </row>
    <row r="60" spans="1:11" s="6" customFormat="1" x14ac:dyDescent="0.3">
      <c r="A60" s="1" t="s">
        <v>22</v>
      </c>
      <c r="B60" s="15"/>
      <c r="C60" s="1"/>
      <c r="D60" s="1"/>
      <c r="E60" s="1"/>
      <c r="F60" s="1"/>
      <c r="G60" s="1"/>
      <c r="H60" s="1"/>
      <c r="I60" s="1"/>
      <c r="J60" s="1"/>
      <c r="K60" s="1"/>
    </row>
    <row r="61" spans="1:11" x14ac:dyDescent="0.3">
      <c r="A61" s="2" t="s">
        <v>9</v>
      </c>
      <c r="B61" s="16"/>
      <c r="C61" s="2"/>
      <c r="D61" s="2"/>
      <c r="E61" s="2"/>
      <c r="F61" s="2"/>
      <c r="G61" s="2">
        <v>0</v>
      </c>
      <c r="H61" s="2">
        <v>0</v>
      </c>
      <c r="I61" s="2">
        <v>7</v>
      </c>
      <c r="J61" s="2">
        <v>7</v>
      </c>
      <c r="K61" s="2">
        <v>7</v>
      </c>
    </row>
    <row r="62" spans="1:11" s="7" customFormat="1" x14ac:dyDescent="0.3">
      <c r="A62" s="8" t="s">
        <v>10</v>
      </c>
      <c r="B62" s="17"/>
      <c r="C62" s="8"/>
      <c r="D62" s="8"/>
      <c r="E62" s="8"/>
      <c r="F62" s="8"/>
      <c r="G62" s="8" t="s">
        <v>14</v>
      </c>
      <c r="H62" s="8" t="s">
        <v>14</v>
      </c>
      <c r="I62" s="8">
        <v>306.66539999999998</v>
      </c>
      <c r="J62" s="8">
        <v>308</v>
      </c>
      <c r="K62" s="8">
        <v>320</v>
      </c>
    </row>
    <row r="63" spans="1:11" s="9" customFormat="1" x14ac:dyDescent="0.3">
      <c r="A63" s="10" t="s">
        <v>11</v>
      </c>
      <c r="B63" s="18"/>
      <c r="C63" s="10">
        <v>369.5</v>
      </c>
      <c r="D63" s="10">
        <v>308.3</v>
      </c>
      <c r="E63" s="10">
        <v>54</v>
      </c>
      <c r="F63" s="10">
        <v>38</v>
      </c>
      <c r="G63" s="10" t="s">
        <v>14</v>
      </c>
      <c r="H63" s="10" t="s">
        <v>14</v>
      </c>
      <c r="I63" s="10">
        <v>278.15719999999999</v>
      </c>
      <c r="J63" s="10">
        <v>246.6362</v>
      </c>
      <c r="K63" s="10">
        <v>244.28880000000001</v>
      </c>
    </row>
    <row r="64" spans="1:11" s="7" customFormat="1" x14ac:dyDescent="0.3">
      <c r="A64" s="8" t="s">
        <v>12</v>
      </c>
      <c r="B64" s="17"/>
      <c r="C64" s="8"/>
      <c r="D64" s="8"/>
      <c r="E64" s="8"/>
      <c r="F64" s="8"/>
      <c r="G64" s="8" t="s">
        <v>14</v>
      </c>
      <c r="H64" s="8" t="s">
        <v>14</v>
      </c>
      <c r="I64" s="8">
        <v>287</v>
      </c>
      <c r="J64" s="8">
        <v>226.2</v>
      </c>
      <c r="K64" s="8">
        <v>227.018</v>
      </c>
    </row>
    <row r="65" spans="1:11" s="7" customFormat="1" x14ac:dyDescent="0.3">
      <c r="A65" s="8" t="s">
        <v>13</v>
      </c>
      <c r="B65" s="17"/>
      <c r="C65" s="8"/>
      <c r="D65" s="8"/>
      <c r="E65" s="8"/>
      <c r="F65" s="8"/>
      <c r="G65" s="8" t="s">
        <v>14</v>
      </c>
      <c r="H65" s="8" t="s">
        <v>14</v>
      </c>
      <c r="I65" s="8">
        <v>244.18790000000001</v>
      </c>
      <c r="J65" s="8">
        <v>200</v>
      </c>
      <c r="K65" s="8">
        <v>201.7</v>
      </c>
    </row>
    <row r="66" spans="1:11" s="6" customFormat="1" x14ac:dyDescent="0.3">
      <c r="A66" s="1" t="s">
        <v>23</v>
      </c>
      <c r="B66" s="15"/>
      <c r="C66" s="1"/>
      <c r="D66" s="1"/>
      <c r="E66" s="1"/>
      <c r="F66" s="1"/>
      <c r="G66" s="1"/>
      <c r="H66" s="1"/>
      <c r="I66" s="1"/>
      <c r="J66" s="1"/>
      <c r="K66" s="1"/>
    </row>
    <row r="67" spans="1:11" x14ac:dyDescent="0.3">
      <c r="A67" s="2" t="s">
        <v>9</v>
      </c>
      <c r="B67" s="16"/>
      <c r="C67" s="2"/>
      <c r="D67" s="2"/>
      <c r="E67" s="2"/>
      <c r="F67" s="2"/>
      <c r="G67" s="2">
        <v>0</v>
      </c>
      <c r="H67" s="2">
        <v>0</v>
      </c>
      <c r="I67" s="2">
        <v>7</v>
      </c>
      <c r="J67" s="2">
        <v>5</v>
      </c>
      <c r="K67" s="2">
        <v>5</v>
      </c>
    </row>
    <row r="68" spans="1:11" s="7" customFormat="1" x14ac:dyDescent="0.3">
      <c r="A68" s="8" t="s">
        <v>10</v>
      </c>
      <c r="B68" s="17"/>
      <c r="C68" s="8"/>
      <c r="D68" s="8"/>
      <c r="E68" s="8"/>
      <c r="F68" s="8"/>
      <c r="G68" s="8" t="s">
        <v>14</v>
      </c>
      <c r="H68" s="8" t="s">
        <v>14</v>
      </c>
      <c r="I68" s="8">
        <v>-70.265299999999996</v>
      </c>
      <c r="J68" s="8">
        <v>68</v>
      </c>
      <c r="K68" s="8">
        <v>121</v>
      </c>
    </row>
    <row r="69" spans="1:11" s="9" customFormat="1" x14ac:dyDescent="0.3">
      <c r="A69" s="10" t="s">
        <v>11</v>
      </c>
      <c r="B69" s="18"/>
      <c r="C69" s="10">
        <v>-104.7</v>
      </c>
      <c r="D69" s="10">
        <v>-85.6</v>
      </c>
      <c r="E69" s="10">
        <v>-30</v>
      </c>
      <c r="F69" s="10">
        <v>-92</v>
      </c>
      <c r="G69" s="10" t="s">
        <v>14</v>
      </c>
      <c r="H69" s="10" t="s">
        <v>14</v>
      </c>
      <c r="I69" s="10">
        <v>-101.65600000000001</v>
      </c>
      <c r="J69" s="10">
        <v>29.6174</v>
      </c>
      <c r="K69" s="10">
        <v>56.3264</v>
      </c>
    </row>
    <row r="70" spans="1:11" s="7" customFormat="1" x14ac:dyDescent="0.3">
      <c r="A70" s="8" t="s">
        <v>12</v>
      </c>
      <c r="B70" s="17"/>
      <c r="C70" s="8"/>
      <c r="D70" s="8"/>
      <c r="E70" s="8"/>
      <c r="F70" s="8"/>
      <c r="G70" s="8" t="s">
        <v>14</v>
      </c>
      <c r="H70" s="8" t="s">
        <v>14</v>
      </c>
      <c r="I70" s="8">
        <v>-93.171800000000005</v>
      </c>
      <c r="J70" s="8">
        <v>19.600000000000001</v>
      </c>
      <c r="K70" s="8">
        <v>45.5</v>
      </c>
    </row>
    <row r="71" spans="1:11" s="7" customFormat="1" x14ac:dyDescent="0.3">
      <c r="A71" s="8" t="s">
        <v>13</v>
      </c>
      <c r="B71" s="17"/>
      <c r="C71" s="8"/>
      <c r="D71" s="8"/>
      <c r="E71" s="8"/>
      <c r="F71" s="8"/>
      <c r="G71" s="8" t="s">
        <v>14</v>
      </c>
      <c r="H71" s="8" t="s">
        <v>14</v>
      </c>
      <c r="I71" s="8">
        <v>-164</v>
      </c>
      <c r="J71" s="8">
        <v>0</v>
      </c>
      <c r="K71" s="8">
        <v>29</v>
      </c>
    </row>
    <row r="73" spans="1:11" x14ac:dyDescent="0.3">
      <c r="A73" s="24" t="s">
        <v>24</v>
      </c>
      <c r="B73" s="25" t="s">
        <v>24</v>
      </c>
      <c r="C73" s="25" t="s">
        <v>24</v>
      </c>
      <c r="D73" s="25" t="s">
        <v>24</v>
      </c>
      <c r="E73" s="25" t="s">
        <v>24</v>
      </c>
      <c r="F73" s="25" t="s">
        <v>24</v>
      </c>
      <c r="G73" s="25" t="s">
        <v>24</v>
      </c>
      <c r="H73" s="25" t="s">
        <v>24</v>
      </c>
      <c r="I73" s="25" t="s">
        <v>24</v>
      </c>
      <c r="J73" s="25" t="s">
        <v>24</v>
      </c>
      <c r="K73" s="26" t="s">
        <v>24</v>
      </c>
    </row>
    <row r="74" spans="1:11" ht="79.95" customHeight="1" x14ac:dyDescent="0.3">
      <c r="A74" s="27" t="s">
        <v>25</v>
      </c>
      <c r="B74" s="28" t="s">
        <v>25</v>
      </c>
      <c r="C74" s="29" t="s">
        <v>25</v>
      </c>
      <c r="D74" s="29" t="s">
        <v>25</v>
      </c>
      <c r="E74" s="29" t="s">
        <v>25</v>
      </c>
      <c r="F74" s="29" t="s">
        <v>25</v>
      </c>
      <c r="G74" s="29" t="s">
        <v>25</v>
      </c>
      <c r="H74" s="29" t="s">
        <v>25</v>
      </c>
      <c r="I74" s="29" t="s">
        <v>25</v>
      </c>
      <c r="J74" s="29" t="s">
        <v>25</v>
      </c>
      <c r="K74" s="30" t="s">
        <v>25</v>
      </c>
    </row>
  </sheetData>
  <mergeCells count="3">
    <mergeCell ref="A2:K2"/>
    <mergeCell ref="A73:K73"/>
    <mergeCell ref="A74:K74"/>
  </mergeCells>
  <conditionalFormatting sqref="A1:A5">
    <cfRule type="expression" dxfId="0" priority="1"/>
  </conditionalFormatting>
  <pageMargins left="0.7" right="0.7" top="0.78740157499999996" bottom="0.78740157499999996" header="0.3" footer="0.3"/>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Consensus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Pahn</dc:creator>
  <cp:lastModifiedBy>Martin Pahn</cp:lastModifiedBy>
  <dcterms:created xsi:type="dcterms:W3CDTF">2026-07-31T11:28:28Z</dcterms:created>
  <dcterms:modified xsi:type="dcterms:W3CDTF">2026-10-26T09:59:54Z</dcterms:modified>
</cp:coreProperties>
</file>